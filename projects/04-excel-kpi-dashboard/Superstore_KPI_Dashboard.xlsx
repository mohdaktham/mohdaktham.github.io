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  <sheet name="Top Products" sheetId="3" state="visible" r:id="rId5"/>
  </sheets>
  <definedNames>
    <definedName function="false" hidden="true" localSheetId="2" name="_xlnm._FilterDatabase" vbProcedure="false">'Top Products'!$A$1:$F$18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<sst xmlns="http://schemas.openxmlformats.org/spreadsheetml/2006/main" count="119" uniqueCount="93">
  <si>
    <t xml:space="preserve">Month</t>
  </si>
  <si>
    <t xml:space="preserve">Sales</t>
  </si>
  <si>
    <t xml:space="preserve">Profit</t>
  </si>
  <si>
    <t xml:space="preserve">Orders</t>
  </si>
  <si>
    <t xml:space="preserve">Category</t>
  </si>
  <si>
    <t xml:space="preserve">Segment</t>
  </si>
  <si>
    <t xml:space="preserve">2015-01</t>
  </si>
  <si>
    <t xml:space="preserve">Furniture</t>
  </si>
  <si>
    <t xml:space="preserve">Consumer</t>
  </si>
  <si>
    <t xml:space="preserve">2015-02</t>
  </si>
  <si>
    <t xml:space="preserve">Office Supplies</t>
  </si>
  <si>
    <t xml:space="preserve">Corporate</t>
  </si>
  <si>
    <t xml:space="preserve">2015-03</t>
  </si>
  <si>
    <t xml:space="preserve">Technology</t>
  </si>
  <si>
    <t xml:space="preserve">Home Office</t>
  </si>
  <si>
    <t xml:space="preserve">2015-04</t>
  </si>
  <si>
    <t xml:space="preserve">2015-05</t>
  </si>
  <si>
    <t xml:space="preserve">2015-06</t>
  </si>
  <si>
    <t xml:space="preserve">2015-07</t>
  </si>
  <si>
    <t xml:space="preserve">Region</t>
  </si>
  <si>
    <t xml:space="preserve">Margin</t>
  </si>
  <si>
    <t xml:space="preserve">2015-08</t>
  </si>
  <si>
    <t xml:space="preserve">Central</t>
  </si>
  <si>
    <t xml:space="preserve">2015-09</t>
  </si>
  <si>
    <t xml:space="preserve">East</t>
  </si>
  <si>
    <t xml:space="preserve">2015-10</t>
  </si>
  <si>
    <t xml:space="preserve">South</t>
  </si>
  <si>
    <t xml:space="preserve">2015-11</t>
  </si>
  <si>
    <t xml:space="preserve">West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</si>
  <si>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</si>
  <si>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</si>
  <si>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</si>
  <si>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</si>
  <si>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</si>
  <si>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</si>
  <si>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</si>
  <si>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</si>
  <si>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</si>
  <si>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</si>
  <si>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</si>
  <si>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</si>
  <si>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</si>
  <si>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</si>
  <si>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</si>
  <si>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</si>
  <si>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</si>
  <si>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</si>
  <si>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</si>
  <si>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</si>
  <si>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</si>
  <si>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</si>
  <si>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</si>
  <si>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</si>
  <si>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</si>
  <si>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</si>
  <si>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</si>
  <si>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</si>
  <si>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</si>
  <si>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</si>
  <si>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</si>
  <si>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</si>
  <si>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</si>
  <si>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</si>
  <si>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</si>
  <si>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</si>
  <si>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</si>
  <si>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SUPERSTORE SALES KPI DASHBOARD</t>
  </si>
  <si>
    <t xml:space="preserve">Source: Superstore retail dataset, 2015-2018 | All KPIs computed with live Excel formulas from the Data sheet</t>
  </si>
  <si>
    <t xml:space="preserve">Total Revenue</t>
  </si>
  <si>
    <t xml:space="preserve">Total Profit</t>
  </si>
  <si>
    <t xml:space="preserve">Profit Margin</t>
  </si>
  <si>
    <t xml:space="preserve">Total Orders</t>
  </si>
  <si>
    <t xml:space="preserve">Avg Order Value</t>
  </si>
  <si>
    <t xml:space="preserve">Best Month Rev.</t>
  </si>
  <si>
    <t xml:space="preserve">Sub-Category</t>
  </si>
  <si>
    <t xml:space="preserve">Qty</t>
  </si>
  <si>
    <t xml:space="preserve">Phones</t>
  </si>
  <si>
    <t xml:space="preserve">Chairs</t>
  </si>
  <si>
    <t xml:space="preserve">Storage</t>
  </si>
  <si>
    <t xml:space="preserve">Tables</t>
  </si>
  <si>
    <t xml:space="preserve">Binders</t>
  </si>
  <si>
    <t xml:space="preserve">Machines</t>
  </si>
  <si>
    <t xml:space="preserve">Accessories</t>
  </si>
  <si>
    <t xml:space="preserve">Copiers</t>
  </si>
  <si>
    <t xml:space="preserve">Bookcases</t>
  </si>
  <si>
    <t xml:space="preserve">Appliances</t>
  </si>
  <si>
    <t xml:space="preserve">Furnishings</t>
  </si>
  <si>
    <t xml:space="preserve">Paper</t>
  </si>
  <si>
    <t xml:space="preserve">Supplies</t>
  </si>
  <si>
    <t xml:space="preserve">Art</t>
  </si>
  <si>
    <t xml:space="preserve">Envelopes</t>
  </si>
  <si>
    <t xml:space="preserve">Labels</t>
  </si>
  <si>
    <t xml:space="preserve">Fasteners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</si>
</sst>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\$#,##0;&quot;($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Data!$B$2:$B$49</c:f>
              <c:numCache>
                <c:formatCode>\$#,##0</c:formatCode>
                <c:ptCount val="48"/>
                <c:pt idx="0">
                  <c:v>14237</c:v>
                </c:pt>
                <c:pt idx="1">
                  <c:v>4520</c:v>
                </c:pt>
                <c:pt idx="2">
                  <c:v>55691</c:v>
                </c:pt>
                <c:pt idx="3">
                  <c:v>28295</c:v>
                </c:pt>
                <c:pt idx="4">
                  <c:v>23648</c:v>
                </c:pt>
                <c:pt idx="5">
                  <c:v>34595</c:v>
                </c:pt>
                <c:pt idx="6">
                  <c:v>33946</c:v>
                </c:pt>
                <c:pt idx="7">
                  <c:v>27909</c:v>
                </c:pt>
                <c:pt idx="8">
                  <c:v>81777</c:v>
                </c:pt>
                <c:pt idx="9">
                  <c:v>31453</c:v>
                </c:pt>
                <c:pt idx="10">
                  <c:v>78629</c:v>
                </c:pt>
                <c:pt idx="11">
                  <c:v>69546</c:v>
                </c:pt>
                <c:pt idx="12">
                  <c:v>18174</c:v>
                </c:pt>
                <c:pt idx="13">
                  <c:v>11951</c:v>
                </c:pt>
                <c:pt idx="14">
                  <c:v>38726</c:v>
                </c:pt>
                <c:pt idx="15">
                  <c:v>34195</c:v>
                </c:pt>
                <c:pt idx="16">
                  <c:v>30132</c:v>
                </c:pt>
                <c:pt idx="17">
                  <c:v>24797</c:v>
                </c:pt>
                <c:pt idx="18">
                  <c:v>28765</c:v>
                </c:pt>
                <c:pt idx="19">
                  <c:v>36898</c:v>
                </c:pt>
                <c:pt idx="20">
                  <c:v>64596</c:v>
                </c:pt>
                <c:pt idx="21">
                  <c:v>31405</c:v>
                </c:pt>
                <c:pt idx="22">
                  <c:v>75973</c:v>
                </c:pt>
                <c:pt idx="23">
                  <c:v>74920</c:v>
                </c:pt>
                <c:pt idx="24">
                  <c:v>18542</c:v>
                </c:pt>
                <c:pt idx="25">
                  <c:v>22979</c:v>
                </c:pt>
                <c:pt idx="26">
                  <c:v>51716</c:v>
                </c:pt>
                <c:pt idx="27">
                  <c:v>38750</c:v>
                </c:pt>
                <c:pt idx="28">
                  <c:v>56988</c:v>
                </c:pt>
                <c:pt idx="29">
                  <c:v>40345</c:v>
                </c:pt>
                <c:pt idx="30">
                  <c:v>39262</c:v>
                </c:pt>
                <c:pt idx="31">
                  <c:v>31115</c:v>
                </c:pt>
                <c:pt idx="32">
                  <c:v>73410</c:v>
                </c:pt>
                <c:pt idx="33">
                  <c:v>59688</c:v>
                </c:pt>
                <c:pt idx="34">
                  <c:v>79412</c:v>
                </c:pt>
                <c:pt idx="35">
                  <c:v>96999</c:v>
                </c:pt>
                <c:pt idx="36">
                  <c:v>43971</c:v>
                </c:pt>
                <c:pt idx="37">
                  <c:v>20301</c:v>
                </c:pt>
                <c:pt idx="38">
                  <c:v>58872</c:v>
                </c:pt>
                <c:pt idx="39">
                  <c:v>36522</c:v>
                </c:pt>
                <c:pt idx="40">
                  <c:v>44261</c:v>
                </c:pt>
                <c:pt idx="41">
                  <c:v>52982</c:v>
                </c:pt>
                <c:pt idx="42">
                  <c:v>45264</c:v>
                </c:pt>
                <c:pt idx="43">
                  <c:v>63121</c:v>
                </c:pt>
                <c:pt idx="44">
                  <c:v>87867</c:v>
                </c:pt>
                <c:pt idx="45">
                  <c:v>77777</c:v>
                </c:pt>
                <c:pt idx="46">
                  <c:v>118448</c:v>
                </c:pt>
                <c:pt idx="47">
                  <c:v>83829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683012"/>
        <c:axId val="44869485"/>
      </c:lineChart>
      <c:catAx>
        <c:axId val="81683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69485"/>
        <c:crosses val="autoZero"/>
        <c:auto val="1"/>
        <c:lblAlgn val="ctr"/>
        <c:lblOffset val="100"/>
        <c:noMultiLvlLbl val="0"/>
      </c:catAx>
      <c:valAx>
        <c:axId val="44869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830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Data!G1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Data!$F$2:$F$4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Data!$G$2:$G$4</c:f>
              <c:numCache>
                <c:formatCode>General</c:formatCode>
                <c:ptCount val="3"/>
                <c:pt idx="0">
                  <c:v>742000</c:v>
                </c:pt>
                <c:pt idx="1">
                  <c:v>719047</c:v>
                </c:pt>
                <c:pt idx="2">
                  <c:v>836154</c:v>
                </c:pt>
              </c:numCache>
            </c:numRef>
          </c:val>
        </c:ser>
        <c:ser>
          <c:idx val="1"/>
          <c:order val="1"/>
          <c:tx>
            <c:strRef>
              <c:f>Data!H1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Data!$F$2:$F$4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Data!$H$2:$H$4</c:f>
              <c:numCache>
                <c:formatCode>General</c:formatCode>
                <c:ptCount val="3"/>
                <c:pt idx="0">
                  <c:v>18451</c:v>
                </c:pt>
                <c:pt idx="1">
                  <c:v>122491</c:v>
                </c:pt>
                <c:pt idx="2">
                  <c:v>145455</c:v>
                </c:pt>
              </c:numCache>
            </c:numRef>
          </c:val>
        </c:ser>
        <c:gapWidth val="150"/>
        <c:overlap val="0"/>
        <c:axId val="45035272"/>
        <c:axId val="33318896"/>
      </c:barChart>
      <c:catAx>
        <c:axId val="4503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318896"/>
        <c:crosses val="autoZero"/>
        <c:auto val="1"/>
        <c:lblAlgn val="ctr"/>
        <c:lblOffset val="100"/>
        <c:noMultiLvlLbl val="0"/>
      </c:catAx>
      <c:valAx>
        <c:axId val="33318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352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Data!K1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Data!$J$2:$J$4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Data!$K$2:$K$4</c:f>
              <c:numCache>
                <c:formatCode>General</c:formatCode>
                <c:ptCount val="3"/>
                <c:pt idx="0">
                  <c:v>1161401</c:v>
                </c:pt>
                <c:pt idx="1">
                  <c:v>706146</c:v>
                </c:pt>
                <c:pt idx="2">
                  <c:v>429653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Data!G8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Data!$F$9:$F$12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Data!$G$9:$G$12</c:f>
              <c:numCache>
                <c:formatCode>General</c:formatCode>
                <c:ptCount val="4"/>
                <c:pt idx="0">
                  <c:v>501240</c:v>
                </c:pt>
                <c:pt idx="1">
                  <c:v>678781</c:v>
                </c:pt>
                <c:pt idx="2">
                  <c:v>391722</c:v>
                </c:pt>
                <c:pt idx="3">
                  <c:v>725458</c:v>
                </c:pt>
              </c:numCache>
            </c:numRef>
          </c:val>
        </c:ser>
        <c:gapWidth val="150"/>
        <c:overlap val="0"/>
        <c:axId val="86208215"/>
        <c:axId val="83334256"/>
      </c:barChart>
      <c:catAx>
        <c:axId val="8620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334256"/>
        <c:crosses val="autoZero"/>
        <c:auto val="1"/>
        <c:lblAlgn val="ctr"/>
        <c:lblOffset val="100"/>
        <c:noMultiLvlLbl val="0"/>
      </c:catAx>
      <c:valAx>
        <c:axId val="83334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2082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10</xdr:col>
      <xdr:colOff>256320</xdr:colOff>
      <xdr:row>21</xdr:row>
      <xdr:rowOff>32760</xdr:rowOff>
    </xdr:to>
    <xdr:graphicFrame>
      <xdr:nvGraphicFramePr>
        <xdr:cNvPr id="1" name="Chart 1"/>
        <xdr:cNvGraphicFramePr/>
      </xdr:nvGraphicFramePr>
      <xdr:xfrm>
        <a:off x="611640" y="1363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18</xdr:col>
      <xdr:colOff>39240</xdr:colOff>
      <xdr:row>21</xdr:row>
      <xdr:rowOff>32760</xdr:rowOff>
    </xdr:to>
    <xdr:graphicFrame>
      <xdr:nvGraphicFramePr>
        <xdr:cNvPr id="2" name="Chart 2"/>
        <xdr:cNvGraphicFramePr/>
      </xdr:nvGraphicFramePr>
      <xdr:xfrm>
        <a:off x="6726600" y="13633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182160</xdr:colOff>
      <xdr:row>37</xdr:row>
      <xdr:rowOff>32760</xdr:rowOff>
    </xdr:to>
    <xdr:graphicFrame>
      <xdr:nvGraphicFramePr>
        <xdr:cNvPr id="3" name="Chart 3"/>
        <xdr:cNvGraphicFramePr/>
      </xdr:nvGraphicFramePr>
      <xdr:xfrm>
        <a:off x="611640" y="441144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16</xdr:col>
      <xdr:colOff>39240</xdr:colOff>
      <xdr:row>37</xdr:row>
      <xdr:rowOff>32760</xdr:rowOff>
    </xdr:to>
    <xdr:graphicFrame>
      <xdr:nvGraphicFramePr>
        <xdr:cNvPr id="4" name="Chart 4"/>
        <xdr:cNvGraphicFramePr/>
      </xdr:nvGraphicFramePr>
      <xdr:xfrm>
        <a:off x="5503680" y="4411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</v>
      </c>
      <c r="H1" s="1" t="s">
        <v>2</v>
      </c>
      <c r="J1" s="1" t="s">
        <v>5</v>
      </c>
      <c r="K1" s="1" t="s">
        <v>1</v>
      </c>
    </row>
    <row r="2" customFormat="false" ht="15" hidden="false" customHeight="false" outlineLevel="0" collapsed="false">
      <c r="A2" s="2" t="s">
        <v>6</v>
      </c>
      <c r="B2" s="3" t="n">
        <v>14237</v>
      </c>
      <c r="C2" s="3" t="n">
        <v>2450</v>
      </c>
      <c r="D2" s="2" t="n">
        <v>32</v>
      </c>
      <c r="F2" s="2" t="s">
        <v>7</v>
      </c>
      <c r="G2" s="2" t="n">
        <v>742000</v>
      </c>
      <c r="H2" s="2" t="n">
        <v>18451</v>
      </c>
      <c r="J2" s="2" t="s">
        <v>8</v>
      </c>
      <c r="K2" s="2" t="n">
        <v>1161401</v>
      </c>
    </row>
    <row r="3" customFormat="false" ht="15" hidden="false" customHeight="false" outlineLevel="0" collapsed="false">
      <c r="A3" s="2" t="s">
        <v>9</v>
      </c>
      <c r="B3" s="3" t="n">
        <v>4520</v>
      </c>
      <c r="C3" s="3" t="n">
        <v>862</v>
      </c>
      <c r="D3" s="2" t="n">
        <v>28</v>
      </c>
      <c r="F3" s="2" t="s">
        <v>10</v>
      </c>
      <c r="G3" s="2" t="n">
        <v>719047</v>
      </c>
      <c r="H3" s="2" t="n">
        <v>122491</v>
      </c>
      <c r="J3" s="2" t="s">
        <v>11</v>
      </c>
      <c r="K3" s="2" t="n">
        <v>706146</v>
      </c>
    </row>
    <row r="4" customFormat="false" ht="15" hidden="false" customHeight="false" outlineLevel="0" collapsed="false">
      <c r="A4" s="2" t="s">
        <v>12</v>
      </c>
      <c r="B4" s="3" t="n">
        <v>55691</v>
      </c>
      <c r="C4" s="3" t="n">
        <v>499</v>
      </c>
      <c r="D4" s="2" t="n">
        <v>71</v>
      </c>
      <c r="F4" s="2" t="s">
        <v>13</v>
      </c>
      <c r="G4" s="2" t="n">
        <v>836154</v>
      </c>
      <c r="H4" s="2" t="n">
        <v>145455</v>
      </c>
      <c r="J4" s="2" t="s">
        <v>14</v>
      </c>
      <c r="K4" s="2" t="n">
        <v>429653</v>
      </c>
    </row>
    <row r="5" customFormat="false" ht="15" hidden="false" customHeight="false" outlineLevel="0" collapsed="false">
      <c r="A5" s="2" t="s">
        <v>15</v>
      </c>
      <c r="B5" s="3" t="n">
        <v>28295</v>
      </c>
      <c r="C5" s="3" t="n">
        <v>3489</v>
      </c>
      <c r="D5" s="2" t="n">
        <v>66</v>
      </c>
    </row>
    <row r="6" customFormat="false" ht="15" hidden="false" customHeight="false" outlineLevel="0" collapsed="false">
      <c r="A6" s="2" t="s">
        <v>16</v>
      </c>
      <c r="B6" s="3" t="n">
        <v>23648</v>
      </c>
      <c r="C6" s="3" t="n">
        <v>2739</v>
      </c>
      <c r="D6" s="2" t="n">
        <v>69</v>
      </c>
    </row>
    <row r="7" customFormat="false" ht="15" hidden="false" customHeight="false" outlineLevel="0" collapsed="false">
      <c r="A7" s="2" t="s">
        <v>17</v>
      </c>
      <c r="B7" s="3" t="n">
        <v>34595</v>
      </c>
      <c r="C7" s="3" t="n">
        <v>4977</v>
      </c>
      <c r="D7" s="2" t="n">
        <v>66</v>
      </c>
    </row>
    <row r="8" customFormat="false" ht="15" hidden="false" customHeight="false" outlineLevel="0" collapsed="false">
      <c r="A8" s="2" t="s">
        <v>18</v>
      </c>
      <c r="B8" s="3" t="n">
        <v>33946</v>
      </c>
      <c r="C8" s="3" t="n">
        <v>-841</v>
      </c>
      <c r="D8" s="2" t="n">
        <v>65</v>
      </c>
      <c r="F8" s="1" t="s">
        <v>19</v>
      </c>
      <c r="G8" s="1" t="s">
        <v>1</v>
      </c>
      <c r="H8" s="1" t="s">
        <v>2</v>
      </c>
      <c r="I8" s="1" t="s">
        <v>20</v>
      </c>
    </row>
    <row r="9" customFormat="false" ht="15" hidden="false" customHeight="false" outlineLevel="0" collapsed="false">
      <c r="A9" s="2" t="s">
        <v>21</v>
      </c>
      <c r="B9" s="3" t="n">
        <v>27909</v>
      </c>
      <c r="C9" s="3" t="n">
        <v>5318</v>
      </c>
      <c r="D9" s="2" t="n">
        <v>72</v>
      </c>
      <c r="F9" s="2" t="s">
        <v>22</v>
      </c>
      <c r="G9" s="2" t="n">
        <v>501240</v>
      </c>
      <c r="H9" s="2" t="n">
        <v>39706</v>
      </c>
      <c r="I9" s="4" t="n">
        <f aca="false">H9/G9</f>
        <v>0.0792155454472907</v>
      </c>
    </row>
    <row r="10" customFormat="false" ht="15" hidden="false" customHeight="false" outlineLevel="0" collapsed="false">
      <c r="A10" s="2" t="s">
        <v>23</v>
      </c>
      <c r="B10" s="3" t="n">
        <v>81777</v>
      </c>
      <c r="C10" s="3" t="n">
        <v>8328</v>
      </c>
      <c r="D10" s="2" t="n">
        <v>130</v>
      </c>
      <c r="F10" s="2" t="s">
        <v>24</v>
      </c>
      <c r="G10" s="2" t="n">
        <v>678781</v>
      </c>
      <c r="H10" s="2" t="n">
        <v>91523</v>
      </c>
      <c r="I10" s="4" t="n">
        <f aca="false">H10/G10</f>
        <v>0.134834357473176</v>
      </c>
    </row>
    <row r="11" customFormat="false" ht="15" hidden="false" customHeight="false" outlineLevel="0" collapsed="false">
      <c r="A11" s="2" t="s">
        <v>25</v>
      </c>
      <c r="B11" s="3" t="n">
        <v>31453</v>
      </c>
      <c r="C11" s="3" t="n">
        <v>3448</v>
      </c>
      <c r="D11" s="2" t="n">
        <v>78</v>
      </c>
      <c r="F11" s="2" t="s">
        <v>26</v>
      </c>
      <c r="G11" s="2" t="n">
        <v>391722</v>
      </c>
      <c r="H11" s="2" t="n">
        <v>46749</v>
      </c>
      <c r="I11" s="4" t="n">
        <f aca="false">H11/G11</f>
        <v>0.119342288663899</v>
      </c>
    </row>
    <row r="12" customFormat="false" ht="15" hidden="false" customHeight="false" outlineLevel="0" collapsed="false">
      <c r="A12" s="2" t="s">
        <v>27</v>
      </c>
      <c r="B12" s="3" t="n">
        <v>78629</v>
      </c>
      <c r="C12" s="3" t="n">
        <v>9292</v>
      </c>
      <c r="D12" s="2" t="n">
        <v>151</v>
      </c>
      <c r="F12" s="2" t="s">
        <v>28</v>
      </c>
      <c r="G12" s="2" t="n">
        <v>725458</v>
      </c>
      <c r="H12" s="2" t="n">
        <v>108418</v>
      </c>
      <c r="I12" s="4" t="n">
        <f aca="false">H12/G12</f>
        <v>0.149447659271798</v>
      </c>
    </row>
    <row r="13" customFormat="false" ht="15" hidden="false" customHeight="false" outlineLevel="0" collapsed="false">
      <c r="A13" s="2" t="s">
        <v>29</v>
      </c>
      <c r="B13" s="3" t="n">
        <v>69546</v>
      </c>
      <c r="C13" s="3" t="n">
        <v>8984</v>
      </c>
      <c r="D13" s="2" t="n">
        <v>141</v>
      </c>
    </row>
    <row r="14" customFormat="false" ht="15" hidden="false" customHeight="false" outlineLevel="0" collapsed="false">
      <c r="A14" s="2" t="s">
        <v>30</v>
      </c>
      <c r="B14" s="3" t="n">
        <v>18174</v>
      </c>
      <c r="C14" s="3" t="n">
        <v>-3281</v>
      </c>
      <c r="D14" s="2" t="n">
        <v>29</v>
      </c>
    </row>
    <row r="15" customFormat="false" ht="15" hidden="false" customHeight="false" outlineLevel="0" collapsed="false">
      <c r="A15" s="2" t="s">
        <v>31</v>
      </c>
      <c r="B15" s="3" t="n">
        <v>11951</v>
      </c>
      <c r="C15" s="3" t="n">
        <v>2814</v>
      </c>
      <c r="D15" s="2" t="n">
        <v>36</v>
      </c>
    </row>
    <row r="16" customFormat="false" ht="15" hidden="false" customHeight="false" outlineLevel="0" collapsed="false">
      <c r="A16" s="2" t="s">
        <v>32</v>
      </c>
      <c r="B16" s="3" t="n">
        <v>38726</v>
      </c>
      <c r="C16" s="3" t="n">
        <v>9732</v>
      </c>
      <c r="D16" s="2" t="n">
        <v>79</v>
      </c>
    </row>
    <row r="17" customFormat="false" ht="15" hidden="false" customHeight="false" outlineLevel="0" collapsed="false">
      <c r="A17" s="2" t="s">
        <v>33</v>
      </c>
      <c r="B17" s="3" t="n">
        <v>34195</v>
      </c>
      <c r="C17" s="3" t="n">
        <v>4187</v>
      </c>
      <c r="D17" s="2" t="n">
        <v>72</v>
      </c>
    </row>
    <row r="18" customFormat="false" ht="15" hidden="false" customHeight="false" outlineLevel="0" collapsed="false">
      <c r="A18" s="2" t="s">
        <v>34</v>
      </c>
      <c r="B18" s="3" t="n">
        <v>30132</v>
      </c>
      <c r="C18" s="3" t="n">
        <v>4668</v>
      </c>
      <c r="D18" s="2" t="n">
        <v>74</v>
      </c>
    </row>
    <row r="19" customFormat="false" ht="15" hidden="false" customHeight="false" outlineLevel="0" collapsed="false">
      <c r="A19" s="2" t="s">
        <v>35</v>
      </c>
      <c r="B19" s="3" t="n">
        <v>24797</v>
      </c>
      <c r="C19" s="3" t="n">
        <v>3336</v>
      </c>
      <c r="D19" s="2" t="n">
        <v>68</v>
      </c>
    </row>
    <row r="20" customFormat="false" ht="15" hidden="false" customHeight="false" outlineLevel="0" collapsed="false">
      <c r="A20" s="2" t="s">
        <v>36</v>
      </c>
      <c r="B20" s="3" t="n">
        <v>28765</v>
      </c>
      <c r="C20" s="3" t="n">
        <v>3289</v>
      </c>
      <c r="D20" s="2" t="n">
        <v>66</v>
      </c>
    </row>
    <row r="21" customFormat="false" ht="15" hidden="false" customHeight="false" outlineLevel="0" collapsed="false">
      <c r="A21" s="2" t="s">
        <v>37</v>
      </c>
      <c r="B21" s="3" t="n">
        <v>36898</v>
      </c>
      <c r="C21" s="3" t="n">
        <v>5356</v>
      </c>
      <c r="D21" s="2" t="n">
        <v>68</v>
      </c>
    </row>
    <row r="22" customFormat="false" ht="15" hidden="false" customHeight="false" outlineLevel="0" collapsed="false">
      <c r="A22" s="2" t="s">
        <v>38</v>
      </c>
      <c r="B22" s="3" t="n">
        <v>64596</v>
      </c>
      <c r="C22" s="3" t="n">
        <v>8209</v>
      </c>
      <c r="D22" s="2" t="n">
        <v>140</v>
      </c>
    </row>
    <row r="23" customFormat="false" ht="15" hidden="false" customHeight="false" outlineLevel="0" collapsed="false">
      <c r="A23" s="2" t="s">
        <v>39</v>
      </c>
      <c r="B23" s="3" t="n">
        <v>31405</v>
      </c>
      <c r="C23" s="3" t="n">
        <v>2817</v>
      </c>
      <c r="D23" s="2" t="n">
        <v>87</v>
      </c>
    </row>
    <row r="24" customFormat="false" ht="15" hidden="false" customHeight="false" outlineLevel="0" collapsed="false">
      <c r="A24" s="2" t="s">
        <v>40</v>
      </c>
      <c r="B24" s="3" t="n">
        <v>75973</v>
      </c>
      <c r="C24" s="3" t="n">
        <v>12475</v>
      </c>
      <c r="D24" s="2" t="n">
        <v>158</v>
      </c>
    </row>
    <row r="25" customFormat="false" ht="15" hidden="false" customHeight="false" outlineLevel="0" collapsed="false">
      <c r="A25" s="2" t="s">
        <v>41</v>
      </c>
      <c r="B25" s="3" t="n">
        <v>74920</v>
      </c>
      <c r="C25" s="3" t="n">
        <v>8017</v>
      </c>
      <c r="D25" s="2" t="n">
        <v>161</v>
      </c>
    </row>
    <row r="26" customFormat="false" ht="15" hidden="false" customHeight="false" outlineLevel="0" collapsed="false">
      <c r="A26" s="2" t="s">
        <v>42</v>
      </c>
      <c r="B26" s="3" t="n">
        <v>18542</v>
      </c>
      <c r="C26" s="3" t="n">
        <v>2825</v>
      </c>
      <c r="D26" s="2" t="n">
        <v>48</v>
      </c>
    </row>
    <row r="27" customFormat="false" ht="15" hidden="false" customHeight="false" outlineLevel="0" collapsed="false">
      <c r="A27" s="2" t="s">
        <v>43</v>
      </c>
      <c r="B27" s="3" t="n">
        <v>22979</v>
      </c>
      <c r="C27" s="3" t="n">
        <v>5005</v>
      </c>
      <c r="D27" s="2" t="n">
        <v>45</v>
      </c>
    </row>
    <row r="28" customFormat="false" ht="15" hidden="false" customHeight="false" outlineLevel="0" collapsed="false">
      <c r="A28" s="2" t="s">
        <v>44</v>
      </c>
      <c r="B28" s="3" t="n">
        <v>51716</v>
      </c>
      <c r="C28" s="3" t="n">
        <v>3612</v>
      </c>
      <c r="D28" s="2" t="n">
        <v>86</v>
      </c>
    </row>
    <row r="29" customFormat="false" ht="15" hidden="false" customHeight="false" outlineLevel="0" collapsed="false">
      <c r="A29" s="2" t="s">
        <v>45</v>
      </c>
      <c r="B29" s="3" t="n">
        <v>38750</v>
      </c>
      <c r="C29" s="3" t="n">
        <v>2978</v>
      </c>
      <c r="D29" s="2" t="n">
        <v>89</v>
      </c>
    </row>
    <row r="30" customFormat="false" ht="15" hidden="false" customHeight="false" outlineLevel="0" collapsed="false">
      <c r="A30" s="2" t="s">
        <v>46</v>
      </c>
      <c r="B30" s="3" t="n">
        <v>56988</v>
      </c>
      <c r="C30" s="3" t="n">
        <v>8662</v>
      </c>
      <c r="D30" s="2" t="n">
        <v>108</v>
      </c>
    </row>
    <row r="31" customFormat="false" ht="15" hidden="false" customHeight="false" outlineLevel="0" collapsed="false">
      <c r="A31" s="2" t="s">
        <v>47</v>
      </c>
      <c r="B31" s="3" t="n">
        <v>40345</v>
      </c>
      <c r="C31" s="3" t="n">
        <v>4750</v>
      </c>
      <c r="D31" s="2" t="n">
        <v>97</v>
      </c>
    </row>
    <row r="32" customFormat="false" ht="15" hidden="false" customHeight="false" outlineLevel="0" collapsed="false">
      <c r="A32" s="2" t="s">
        <v>48</v>
      </c>
      <c r="B32" s="3" t="n">
        <v>39262</v>
      </c>
      <c r="C32" s="3" t="n">
        <v>4433</v>
      </c>
      <c r="D32" s="2" t="n">
        <v>96</v>
      </c>
    </row>
    <row r="33" customFormat="false" ht="15" hidden="false" customHeight="false" outlineLevel="0" collapsed="false">
      <c r="A33" s="2" t="s">
        <v>49</v>
      </c>
      <c r="B33" s="3" t="n">
        <v>31115</v>
      </c>
      <c r="C33" s="3" t="n">
        <v>2062</v>
      </c>
      <c r="D33" s="2" t="n">
        <v>90</v>
      </c>
    </row>
    <row r="34" customFormat="false" ht="15" hidden="false" customHeight="false" outlineLevel="0" collapsed="false">
      <c r="A34" s="2" t="s">
        <v>50</v>
      </c>
      <c r="B34" s="3" t="n">
        <v>73410</v>
      </c>
      <c r="C34" s="3" t="n">
        <v>9329</v>
      </c>
      <c r="D34" s="2" t="n">
        <v>192</v>
      </c>
    </row>
    <row r="35" customFormat="false" ht="15" hidden="false" customHeight="false" outlineLevel="0" collapsed="false">
      <c r="A35" s="2" t="s">
        <v>51</v>
      </c>
      <c r="B35" s="3" t="n">
        <v>59688</v>
      </c>
      <c r="C35" s="3" t="n">
        <v>16243</v>
      </c>
      <c r="D35" s="2" t="n">
        <v>105</v>
      </c>
    </row>
    <row r="36" customFormat="false" ht="15" hidden="false" customHeight="false" outlineLevel="0" collapsed="false">
      <c r="A36" s="2" t="s">
        <v>52</v>
      </c>
      <c r="B36" s="3" t="n">
        <v>79412</v>
      </c>
      <c r="C36" s="3" t="n">
        <v>4011</v>
      </c>
      <c r="D36" s="2" t="n">
        <v>183</v>
      </c>
    </row>
    <row r="37" customFormat="false" ht="15" hidden="false" customHeight="false" outlineLevel="0" collapsed="false">
      <c r="A37" s="2" t="s">
        <v>53</v>
      </c>
      <c r="B37" s="3" t="n">
        <v>96999</v>
      </c>
      <c r="C37" s="3" t="n">
        <v>17885</v>
      </c>
      <c r="D37" s="2" t="n">
        <v>176</v>
      </c>
    </row>
    <row r="38" customFormat="false" ht="15" hidden="false" customHeight="false" outlineLevel="0" collapsed="false">
      <c r="A38" s="2" t="s">
        <v>54</v>
      </c>
      <c r="B38" s="3" t="n">
        <v>43971</v>
      </c>
      <c r="C38" s="3" t="n">
        <v>7140</v>
      </c>
      <c r="D38" s="2" t="n">
        <v>69</v>
      </c>
    </row>
    <row r="39" customFormat="false" ht="15" hidden="false" customHeight="false" outlineLevel="0" collapsed="false">
      <c r="A39" s="2" t="s">
        <v>55</v>
      </c>
      <c r="B39" s="3" t="n">
        <v>20301</v>
      </c>
      <c r="C39" s="3" t="n">
        <v>1614</v>
      </c>
      <c r="D39" s="2" t="n">
        <v>53</v>
      </c>
    </row>
    <row r="40" customFormat="false" ht="15" hidden="false" customHeight="false" outlineLevel="0" collapsed="false">
      <c r="A40" s="2" t="s">
        <v>56</v>
      </c>
      <c r="B40" s="3" t="n">
        <v>58872</v>
      </c>
      <c r="C40" s="3" t="n">
        <v>14752</v>
      </c>
      <c r="D40" s="2" t="n">
        <v>118</v>
      </c>
    </row>
    <row r="41" customFormat="false" ht="15" hidden="false" customHeight="false" outlineLevel="0" collapsed="false">
      <c r="A41" s="2" t="s">
        <v>57</v>
      </c>
      <c r="B41" s="3" t="n">
        <v>36522</v>
      </c>
      <c r="C41" s="3" t="n">
        <v>933</v>
      </c>
      <c r="D41" s="2" t="n">
        <v>116</v>
      </c>
    </row>
    <row r="42" customFormat="false" ht="15" hidden="false" customHeight="false" outlineLevel="0" collapsed="false">
      <c r="A42" s="2" t="s">
        <v>58</v>
      </c>
      <c r="B42" s="3" t="n">
        <v>44261</v>
      </c>
      <c r="C42" s="3" t="n">
        <v>6343</v>
      </c>
      <c r="D42" s="2" t="n">
        <v>118</v>
      </c>
    </row>
    <row r="43" customFormat="false" ht="15" hidden="false" customHeight="false" outlineLevel="0" collapsed="false">
      <c r="A43" s="2" t="s">
        <v>59</v>
      </c>
      <c r="B43" s="3" t="n">
        <v>52982</v>
      </c>
      <c r="C43" s="3" t="n">
        <v>8223</v>
      </c>
      <c r="D43" s="2" t="n">
        <v>133</v>
      </c>
    </row>
    <row r="44" customFormat="false" ht="15" hidden="false" customHeight="false" outlineLevel="0" collapsed="false">
      <c r="A44" s="2" t="s">
        <v>60</v>
      </c>
      <c r="B44" s="3" t="n">
        <v>45264</v>
      </c>
      <c r="C44" s="3" t="n">
        <v>6953</v>
      </c>
      <c r="D44" s="2" t="n">
        <v>111</v>
      </c>
    </row>
    <row r="45" customFormat="false" ht="15" hidden="false" customHeight="false" outlineLevel="0" collapsed="false">
      <c r="A45" s="2" t="s">
        <v>61</v>
      </c>
      <c r="B45" s="3" t="n">
        <v>63121</v>
      </c>
      <c r="C45" s="3" t="n">
        <v>9041</v>
      </c>
      <c r="D45" s="2" t="n">
        <v>111</v>
      </c>
    </row>
    <row r="46" customFormat="false" ht="15" hidden="false" customHeight="false" outlineLevel="0" collapsed="false">
      <c r="A46" s="2" t="s">
        <v>62</v>
      </c>
      <c r="B46" s="3" t="n">
        <v>87867</v>
      </c>
      <c r="C46" s="3" t="n">
        <v>10992</v>
      </c>
      <c r="D46" s="2" t="n">
        <v>226</v>
      </c>
    </row>
    <row r="47" customFormat="false" ht="15" hidden="false" customHeight="false" outlineLevel="0" collapsed="false">
      <c r="A47" s="2" t="s">
        <v>63</v>
      </c>
      <c r="B47" s="3" t="n">
        <v>77777</v>
      </c>
      <c r="C47" s="3" t="n">
        <v>9275</v>
      </c>
      <c r="D47" s="2" t="n">
        <v>147</v>
      </c>
    </row>
    <row r="48" customFormat="false" ht="15" hidden="false" customHeight="false" outlineLevel="0" collapsed="false">
      <c r="A48" s="2" t="s">
        <v>64</v>
      </c>
      <c r="B48" s="3" t="n">
        <v>118448</v>
      </c>
      <c r="C48" s="3" t="n">
        <v>9690</v>
      </c>
      <c r="D48" s="2" t="n">
        <v>261</v>
      </c>
    </row>
    <row r="49" customFormat="false" ht="15" hidden="false" customHeight="false" outlineLevel="0" collapsed="false">
      <c r="A49" s="2" t="s">
        <v>65</v>
      </c>
      <c r="B49" s="3" t="n">
        <v>83829</v>
      </c>
      <c r="C49" s="3" t="n">
        <v>8483</v>
      </c>
      <c r="D49" s="2" t="n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7.35" hidden="false" customHeight="false" outlineLevel="0" collapsed="false">
      <c r="B2" s="5" t="s">
        <v>66</v>
      </c>
    </row>
    <row r="3" customFormat="false" ht="15" hidden="false" customHeight="false" outlineLevel="0" collapsed="false">
      <c r="B3" s="6" t="s">
        <v>67</v>
      </c>
    </row>
    <row r="5" customFormat="false" ht="15" hidden="false" customHeight="false" outlineLevel="0" collapsed="false">
      <c r="B5" s="7" t="s">
        <v>68</v>
      </c>
      <c r="C5" s="7"/>
      <c r="D5" s="7" t="s">
        <v>69</v>
      </c>
      <c r="E5" s="7"/>
      <c r="F5" s="7" t="s">
        <v>70</v>
      </c>
      <c r="G5" s="7"/>
      <c r="H5" s="7" t="s">
        <v>71</v>
      </c>
      <c r="I5" s="7"/>
      <c r="J5" s="7" t="s">
        <v>72</v>
      </c>
      <c r="K5" s="7"/>
      <c r="L5" s="7" t="s">
        <v>73</v>
      </c>
      <c r="M5" s="7"/>
    </row>
    <row r="6" customFormat="false" ht="15" hidden="false" customHeight="false" outlineLevel="0" collapsed="false">
      <c r="B6" s="8" t="n">
        <f aca="false">SUM(Data!B2:B49)</f>
        <v>2297199</v>
      </c>
      <c r="C6" s="8"/>
      <c r="D6" s="8" t="n">
        <f aca="false">SUM(Data!C2:C49)</f>
        <v>286398</v>
      </c>
      <c r="E6" s="8"/>
      <c r="F6" s="9" t="n">
        <f aca="false">SUM(Data!C2:C49)/SUM(Data!B2:B49)</f>
        <v>0.124672699230672</v>
      </c>
      <c r="G6" s="9"/>
      <c r="H6" s="10" t="n">
        <f aca="false">SUM(Data!D2:D49)</f>
        <v>5009</v>
      </c>
      <c r="I6" s="10"/>
      <c r="J6" s="8" t="n">
        <f aca="false">SUM(Data!B2:B49)/SUM(Data!D2:D49)</f>
        <v>458.614294270313</v>
      </c>
      <c r="K6" s="8"/>
      <c r="L6" s="8" t="n">
        <f aca="false">MAX(Data!B2:B49)</f>
        <v>118448</v>
      </c>
      <c r="M6" s="8"/>
    </row>
  </sheetData>
  <mergeCells count="12"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4</v>
      </c>
      <c r="B1" s="1" t="s">
        <v>74</v>
      </c>
      <c r="C1" s="1" t="s">
        <v>1</v>
      </c>
      <c r="D1" s="1" t="s">
        <v>2</v>
      </c>
      <c r="E1" s="1" t="s">
        <v>75</v>
      </c>
      <c r="F1" s="1" t="s">
        <v>20</v>
      </c>
    </row>
    <row r="2" customFormat="false" ht="15" hidden="false" customHeight="false" outlineLevel="0" collapsed="false">
      <c r="A2" s="2" t="s">
        <v>13</v>
      </c>
      <c r="B2" s="2" t="s">
        <v>76</v>
      </c>
      <c r="C2" s="3" t="n">
        <v>330007</v>
      </c>
      <c r="D2" s="11" t="n">
        <v>44516</v>
      </c>
      <c r="E2" s="2" t="n">
        <v>3289</v>
      </c>
      <c r="F2" s="4" t="n">
        <f aca="false">D2/C2</f>
        <v>0.134894108306794</v>
      </c>
    </row>
    <row r="3" customFormat="false" ht="15" hidden="false" customHeight="false" outlineLevel="0" collapsed="false">
      <c r="A3" s="2" t="s">
        <v>7</v>
      </c>
      <c r="B3" s="2" t="s">
        <v>77</v>
      </c>
      <c r="C3" s="3" t="n">
        <v>328449</v>
      </c>
      <c r="D3" s="11" t="n">
        <v>26590</v>
      </c>
      <c r="E3" s="2" t="n">
        <v>2356</v>
      </c>
      <c r="F3" s="4" t="n">
        <f aca="false">D3/C3</f>
        <v>0.0809562519599694</v>
      </c>
    </row>
    <row r="4" customFormat="false" ht="15" hidden="false" customHeight="false" outlineLevel="0" collapsed="false">
      <c r="A4" s="2" t="s">
        <v>10</v>
      </c>
      <c r="B4" s="2" t="s">
        <v>78</v>
      </c>
      <c r="C4" s="3" t="n">
        <v>223844</v>
      </c>
      <c r="D4" s="11" t="n">
        <v>21279</v>
      </c>
      <c r="E4" s="2" t="n">
        <v>3158</v>
      </c>
      <c r="F4" s="4" t="n">
        <f aca="false">D4/C4</f>
        <v>0.0950617394256715</v>
      </c>
    </row>
    <row r="5" customFormat="false" ht="15" hidden="false" customHeight="false" outlineLevel="0" collapsed="false">
      <c r="A5" s="2" t="s">
        <v>7</v>
      </c>
      <c r="B5" s="2" t="s">
        <v>79</v>
      </c>
      <c r="C5" s="3" t="n">
        <v>206966</v>
      </c>
      <c r="D5" s="11" t="n">
        <v>-17725</v>
      </c>
      <c r="E5" s="2" t="n">
        <v>1241</v>
      </c>
      <c r="F5" s="4" t="n">
        <f aca="false">D5/C5</f>
        <v>-0.0856420861397524</v>
      </c>
    </row>
    <row r="6" customFormat="false" ht="15" hidden="false" customHeight="false" outlineLevel="0" collapsed="false">
      <c r="A6" s="2" t="s">
        <v>10</v>
      </c>
      <c r="B6" s="2" t="s">
        <v>80</v>
      </c>
      <c r="C6" s="3" t="n">
        <v>203413</v>
      </c>
      <c r="D6" s="11" t="n">
        <v>30222</v>
      </c>
      <c r="E6" s="2" t="n">
        <v>5974</v>
      </c>
      <c r="F6" s="4" t="n">
        <f aca="false">D6/C6</f>
        <v>0.148574574879678</v>
      </c>
    </row>
    <row r="7" customFormat="false" ht="15" hidden="false" customHeight="false" outlineLevel="0" collapsed="false">
      <c r="A7" s="2" t="s">
        <v>13</v>
      </c>
      <c r="B7" s="2" t="s">
        <v>81</v>
      </c>
      <c r="C7" s="3" t="n">
        <v>189239</v>
      </c>
      <c r="D7" s="11" t="n">
        <v>3385</v>
      </c>
      <c r="E7" s="2" t="n">
        <v>440</v>
      </c>
      <c r="F7" s="4" t="n">
        <f aca="false">D7/C7</f>
        <v>0.0178874333514762</v>
      </c>
    </row>
    <row r="8" customFormat="false" ht="15" hidden="false" customHeight="false" outlineLevel="0" collapsed="false">
      <c r="A8" s="2" t="s">
        <v>13</v>
      </c>
      <c r="B8" s="2" t="s">
        <v>82</v>
      </c>
      <c r="C8" s="3" t="n">
        <v>167380</v>
      </c>
      <c r="D8" s="11" t="n">
        <v>41937</v>
      </c>
      <c r="E8" s="2" t="n">
        <v>2976</v>
      </c>
      <c r="F8" s="4" t="n">
        <f aca="false">D8/C8</f>
        <v>0.250549647508663</v>
      </c>
    </row>
    <row r="9" customFormat="false" ht="15" hidden="false" customHeight="false" outlineLevel="0" collapsed="false">
      <c r="A9" s="2" t="s">
        <v>13</v>
      </c>
      <c r="B9" s="2" t="s">
        <v>83</v>
      </c>
      <c r="C9" s="3" t="n">
        <v>149528</v>
      </c>
      <c r="D9" s="11" t="n">
        <v>55618</v>
      </c>
      <c r="E9" s="2" t="n">
        <v>234</v>
      </c>
      <c r="F9" s="4" t="n">
        <f aca="false">D9/C9</f>
        <v>0.371957091648387</v>
      </c>
    </row>
    <row r="10" customFormat="false" ht="15" hidden="false" customHeight="false" outlineLevel="0" collapsed="false">
      <c r="A10" s="2" t="s">
        <v>7</v>
      </c>
      <c r="B10" s="2" t="s">
        <v>84</v>
      </c>
      <c r="C10" s="3" t="n">
        <v>114880</v>
      </c>
      <c r="D10" s="11" t="n">
        <v>-3473</v>
      </c>
      <c r="E10" s="2" t="n">
        <v>868</v>
      </c>
      <c r="F10" s="4" t="n">
        <f aca="false">D10/C10</f>
        <v>-0.0302315459610028</v>
      </c>
    </row>
    <row r="11" customFormat="false" ht="15" hidden="false" customHeight="false" outlineLevel="0" collapsed="false">
      <c r="A11" s="2" t="s">
        <v>10</v>
      </c>
      <c r="B11" s="2" t="s">
        <v>85</v>
      </c>
      <c r="C11" s="3" t="n">
        <v>107532</v>
      </c>
      <c r="D11" s="11" t="n">
        <v>18138</v>
      </c>
      <c r="E11" s="2" t="n">
        <v>1729</v>
      </c>
      <c r="F11" s="4" t="n">
        <f aca="false">D11/C11</f>
        <v>0.168675371052338</v>
      </c>
    </row>
    <row r="12" customFormat="false" ht="15" hidden="false" customHeight="false" outlineLevel="0" collapsed="false">
      <c r="A12" s="2" t="s">
        <v>7</v>
      </c>
      <c r="B12" s="2" t="s">
        <v>86</v>
      </c>
      <c r="C12" s="3" t="n">
        <v>91705</v>
      </c>
      <c r="D12" s="11" t="n">
        <v>13059</v>
      </c>
      <c r="E12" s="2" t="n">
        <v>3563</v>
      </c>
      <c r="F12" s="4" t="n">
        <f aca="false">D12/C12</f>
        <v>0.142402268142413</v>
      </c>
    </row>
    <row r="13" customFormat="false" ht="15" hidden="false" customHeight="false" outlineLevel="0" collapsed="false">
      <c r="A13" s="2" t="s">
        <v>10</v>
      </c>
      <c r="B13" s="2" t="s">
        <v>87</v>
      </c>
      <c r="C13" s="3" t="n">
        <v>78479</v>
      </c>
      <c r="D13" s="11" t="n">
        <v>34054</v>
      </c>
      <c r="E13" s="2" t="n">
        <v>5178</v>
      </c>
      <c r="F13" s="4" t="n">
        <f aca="false">D13/C13</f>
        <v>0.43392499904433</v>
      </c>
    </row>
    <row r="14" customFormat="false" ht="15" hidden="false" customHeight="false" outlineLevel="0" collapsed="false">
      <c r="A14" s="2" t="s">
        <v>10</v>
      </c>
      <c r="B14" s="2" t="s">
        <v>88</v>
      </c>
      <c r="C14" s="3" t="n">
        <v>46674</v>
      </c>
      <c r="D14" s="11" t="n">
        <v>-1189</v>
      </c>
      <c r="E14" s="2" t="n">
        <v>647</v>
      </c>
      <c r="F14" s="4" t="n">
        <f aca="false">D14/C14</f>
        <v>-0.0254745682821271</v>
      </c>
    </row>
    <row r="15" customFormat="false" ht="15" hidden="false" customHeight="false" outlineLevel="0" collapsed="false">
      <c r="A15" s="2" t="s">
        <v>10</v>
      </c>
      <c r="B15" s="2" t="s">
        <v>89</v>
      </c>
      <c r="C15" s="3" t="n">
        <v>27119</v>
      </c>
      <c r="D15" s="11" t="n">
        <v>6528</v>
      </c>
      <c r="E15" s="2" t="n">
        <v>3000</v>
      </c>
      <c r="F15" s="4" t="n">
        <f aca="false">D15/C15</f>
        <v>0.240716840591467</v>
      </c>
    </row>
    <row r="16" customFormat="false" ht="15" hidden="false" customHeight="false" outlineLevel="0" collapsed="false">
      <c r="A16" s="2" t="s">
        <v>10</v>
      </c>
      <c r="B16" s="2" t="s">
        <v>90</v>
      </c>
      <c r="C16" s="3" t="n">
        <v>16476</v>
      </c>
      <c r="D16" s="11" t="n">
        <v>6964</v>
      </c>
      <c r="E16" s="2" t="n">
        <v>906</v>
      </c>
      <c r="F16" s="4" t="n">
        <f aca="false">D16/C16</f>
        <v>0.4226754066521</v>
      </c>
    </row>
    <row r="17" customFormat="false" ht="15" hidden="false" customHeight="false" outlineLevel="0" collapsed="false">
      <c r="A17" s="2" t="s">
        <v>10</v>
      </c>
      <c r="B17" s="2" t="s">
        <v>91</v>
      </c>
      <c r="C17" s="3" t="n">
        <v>12486</v>
      </c>
      <c r="D17" s="11" t="n">
        <v>5546</v>
      </c>
      <c r="E17" s="2" t="n">
        <v>1400</v>
      </c>
      <c r="F17" s="4" t="n">
        <f aca="false">D17/C17</f>
        <v>0.444177478776229</v>
      </c>
    </row>
    <row r="18" customFormat="false" ht="15" hidden="false" customHeight="false" outlineLevel="0" collapsed="false">
      <c r="A18" s="2" t="s">
        <v>10</v>
      </c>
      <c r="B18" s="2" t="s">
        <v>92</v>
      </c>
      <c r="C18" s="3" t="n">
        <v>3024</v>
      </c>
      <c r="D18" s="11" t="n">
        <v>950</v>
      </c>
      <c r="E18" s="2" t="n">
        <v>914</v>
      </c>
      <c r="F18" s="4" t="n">
        <f aca="false">D18/C18</f>
        <v>0.314153439153439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2026-07-06T14:12:20Z</dcterms:created>
  <dc:creator>openpyxl</dc:creator>
  <dc:description/>
  <dc:language>en-US</dc:language>
  <cp:lastModifiedBy/>
  <dcterms:modified xsi:type="dcterms:W3CDTF">2026-07-06T10:12:22Z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